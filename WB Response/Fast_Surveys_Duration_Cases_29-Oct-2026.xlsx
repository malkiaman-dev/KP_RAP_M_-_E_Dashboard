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Tracking Dashboard\WB Response\"/>
    </mc:Choice>
  </mc:AlternateContent>
  <xr:revisionPtr revIDLastSave="0" documentId="13_ncr:1_{F8B5F07A-75C5-4E59-BE72-EB388F7560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ther (15 min)" sheetId="3" r:id="rId1"/>
    <sheet name="Girls (20 min)" sheetId="4" r:id="rId2"/>
  </sheets>
  <definedNames>
    <definedName name="_xlnm._FilterDatabase" localSheetId="0" hidden="1">'Father (15 min)'!$A$3:$M$7</definedName>
    <definedName name="_xlnm._FilterDatabase" localSheetId="1" hidden="1">'Girls (20 min)'!$A$3:$M$21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3" l="1"/>
  <c r="J6" i="3"/>
  <c r="J7" i="3"/>
  <c r="J4" i="3"/>
  <c r="L21" i="4"/>
  <c r="K21" i="4"/>
  <c r="J21" i="4"/>
  <c r="L20" i="4"/>
  <c r="K20" i="4"/>
  <c r="J20" i="4"/>
  <c r="L19" i="4"/>
  <c r="K19" i="4"/>
  <c r="J19" i="4"/>
  <c r="L18" i="4"/>
  <c r="K18" i="4"/>
  <c r="J18" i="4"/>
  <c r="L17" i="4"/>
  <c r="K17" i="4"/>
  <c r="J17" i="4"/>
  <c r="L16" i="4"/>
  <c r="K16" i="4"/>
  <c r="J16" i="4"/>
  <c r="L15" i="4"/>
  <c r="K15" i="4"/>
  <c r="J15" i="4"/>
  <c r="L14" i="4"/>
  <c r="K14" i="4"/>
  <c r="J14" i="4"/>
  <c r="L13" i="4"/>
  <c r="K13" i="4"/>
  <c r="J13" i="4"/>
  <c r="L12" i="4"/>
  <c r="K12" i="4"/>
  <c r="J12" i="4"/>
  <c r="L11" i="4"/>
  <c r="K11" i="4"/>
  <c r="J11" i="4"/>
  <c r="L10" i="4"/>
  <c r="K10" i="4"/>
  <c r="J10" i="4"/>
  <c r="L9" i="4"/>
  <c r="K9" i="4"/>
  <c r="J9" i="4"/>
  <c r="L8" i="4"/>
  <c r="K8" i="4"/>
  <c r="J8" i="4"/>
  <c r="L7" i="4"/>
  <c r="K7" i="4"/>
  <c r="J7" i="4"/>
  <c r="L6" i="4"/>
  <c r="K6" i="4"/>
  <c r="J6" i="4"/>
  <c r="L5" i="4"/>
  <c r="K5" i="4"/>
  <c r="J5" i="4"/>
  <c r="L4" i="4"/>
  <c r="K4" i="4"/>
  <c r="J4" i="4"/>
  <c r="L7" i="3"/>
  <c r="K7" i="3"/>
  <c r="L6" i="3"/>
  <c r="K6" i="3"/>
  <c r="L5" i="3"/>
  <c r="K5" i="3"/>
  <c r="L4" i="3"/>
  <c r="K4" i="3"/>
  <c r="M15" i="4" l="1"/>
  <c r="M13" i="4"/>
  <c r="M21" i="4"/>
  <c r="M20" i="4"/>
  <c r="M19" i="4"/>
  <c r="M18" i="4"/>
  <c r="M17" i="4"/>
  <c r="M16" i="4"/>
  <c r="M14" i="4"/>
  <c r="M12" i="4"/>
  <c r="M11" i="4"/>
  <c r="M10" i="4"/>
  <c r="M9" i="4"/>
  <c r="M8" i="4"/>
  <c r="M7" i="4"/>
  <c r="M6" i="4"/>
  <c r="M5" i="4"/>
  <c r="M4" i="4"/>
  <c r="M7" i="3"/>
  <c r="M6" i="3"/>
  <c r="M5" i="3"/>
  <c r="M4" i="3"/>
</calcChain>
</file>

<file path=xl/sharedStrings.xml><?xml version="1.0" encoding="utf-8"?>
<sst xmlns="http://schemas.openxmlformats.org/spreadsheetml/2006/main" count="96" uniqueCount="67">
  <si>
    <t>Father survey: threshold (minutes)</t>
  </si>
  <si>
    <t>#</t>
  </si>
  <si>
    <t>Girl ID</t>
  </si>
  <si>
    <t>KEY</t>
  </si>
  <si>
    <t>Date</t>
  </si>
  <si>
    <t>starttime1 (manual)</t>
  </si>
  <si>
    <t>Endtime1 (manual)</t>
  </si>
  <si>
    <t>duration (sec)</t>
  </si>
  <si>
    <t>Auto duration (min)</t>
  </si>
  <si>
    <t>Manual duration (min)</t>
  </si>
  <si>
    <t>Auto below threshold?</t>
  </si>
  <si>
    <t>Manual below threshold?</t>
  </si>
  <si>
    <t>1-14338-24-7eec2429-12</t>
  </si>
  <si>
    <t>Shafaq Zahra</t>
  </si>
  <si>
    <t>uuid:b2a7c458-3dc4-49b7-bb88-b781399c57f9</t>
  </si>
  <si>
    <t>227</t>
  </si>
  <si>
    <t>Asma Bibi</t>
  </si>
  <si>
    <t>uuid:174143fe-8423-4240-95ca-620fa6d7d952</t>
  </si>
  <si>
    <t>710</t>
  </si>
  <si>
    <t>uuid:0692eccf-58f9-4857-93a3-2b9336353678</t>
  </si>
  <si>
    <t>1-28892-23-c90bbaa9-14</t>
  </si>
  <si>
    <t>Javairia</t>
  </si>
  <si>
    <t>uuid:9b1c20cf-66d3-49cd-b5d3-c71ee06764e4</t>
  </si>
  <si>
    <t>1-14271-24-26de08a1-1</t>
  </si>
  <si>
    <t>Girls survey: threshold (minutes)</t>
  </si>
  <si>
    <t>830</t>
  </si>
  <si>
    <t>uuid:385b05c7-727f-46e4-9d48-a86c5346f2fa</t>
  </si>
  <si>
    <t>1-37622-24-c87ea635-1</t>
  </si>
  <si>
    <t>uuid:db9a5ae8-3ebe-4b5f-a7dc-68501c8670b3</t>
  </si>
  <si>
    <t>829</t>
  </si>
  <si>
    <t>uuid:f3a43875-dd3c-4f74-8c7b-5827162b9291</t>
  </si>
  <si>
    <t>uuid:ad8bd50f-db29-4cda-bea0-0b0bf6cd1301</t>
  </si>
  <si>
    <t>uuid:bf6a51df-9395-41ba-a8a1-408f34cc72c9</t>
  </si>
  <si>
    <t>1-28892-23-bda1225e-10</t>
  </si>
  <si>
    <t>uuid:8ad6b109-0bf7-4f84-8d6a-6e53b0c9ab24</t>
  </si>
  <si>
    <t>1-28892-23-2a25cb4d-1</t>
  </si>
  <si>
    <t>uuid:2ee1e874-ca7b-4f5c-bc3d-126001c23947</t>
  </si>
  <si>
    <t>828</t>
  </si>
  <si>
    <t>Shazia Bibi</t>
  </si>
  <si>
    <t>uuid:39f58598-a1e1-4cb0-b3e4-958bfc232980</t>
  </si>
  <si>
    <t>1-14271-23-628fdb65-9</t>
  </si>
  <si>
    <t>aisha.aman</t>
  </si>
  <si>
    <t>uuid:0dbb44c6-5a5b-49ff-bf61-77d02ecf1700</t>
  </si>
  <si>
    <t>1-14271-24-acbb1843-8</t>
  </si>
  <si>
    <t>uuid:b0b43b60-66bf-4cba-9fa7-2ddf923f77d2</t>
  </si>
  <si>
    <t>1-14271-23-fceeae2d-10</t>
  </si>
  <si>
    <t>uuid:2a43b35f-1717-4f09-88aa-8ad79508e5e5</t>
  </si>
  <si>
    <t>1-14271-23-8a01efd3-2</t>
  </si>
  <si>
    <t>uuid:07980b59-45a2-4f41-9669-44390144f460</t>
  </si>
  <si>
    <t>uuid:5bf2c622-16b7-4a65-a772-3860bc4cbd2d</t>
  </si>
  <si>
    <t>1-14271-23-deabd3d9-3</t>
  </si>
  <si>
    <t>uuid:d1a0172f-f099-4536-ac2d-cff993dd25fd</t>
  </si>
  <si>
    <t>2-31381-23-acaa1297-19</t>
  </si>
  <si>
    <t>Mahnoor</t>
  </si>
  <si>
    <t>uuid:ff40ef09-9972-4a04-aa5f-a52646556919</t>
  </si>
  <si>
    <t>1-14338-24-ff650fd0-2</t>
  </si>
  <si>
    <t>uuid:d559bcfd-1a0b-41a8-91e7-97d5ceecc7e3</t>
  </si>
  <si>
    <t>Irum Ikram</t>
  </si>
  <si>
    <t>1-14338-23-57652c2f-10</t>
  </si>
  <si>
    <t>Naureen khan</t>
  </si>
  <si>
    <t>uuid:0b9f5ae9-b4bf-42df-b95d-58e81b92938c</t>
  </si>
  <si>
    <t>1-14338-24-8194b220-16</t>
  </si>
  <si>
    <t>uuid:80cf13f9-d82f-4321-a784-8ed592583eac</t>
  </si>
  <si>
    <t>Reported duration (min)</t>
  </si>
  <si>
    <t>Enumerator</t>
  </si>
  <si>
    <t>Auto Duration (min)</t>
  </si>
  <si>
    <t xml:space="preserve">← custom Duration 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</si>
</sst>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dd\-mmm\-yyyy\ hh:mm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rgb="FFC00000"/>
      <name val="Calibri"/>
      <family val="2"/>
    </font>
    <font>
      <i/>
      <sz val="11"/>
      <color rgb="FF808080"/>
      <name val="Calibri"/>
      <family val="2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4" fillId="2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vertical="top"/>
    </xf>
    <xf numFmtId="0" fontId="5" fillId="0" borderId="1" xfId="0" applyFont="1" applyBorder="1" applyAlignment="1">
      <alignment vertical="top"/>
    </xf>
  </cellXfs>
  <cellStyles count="1">
    <cellStyle name="Normal" xfId="0" builtinId="0"/>
  </cellStyles>
  <dxfs count="2">
    <dxf>
      <font>
        <b/>
        <color rgb="FFC00000"/>
      </font>
    </dxf>
    <dxf>
      <font>
        <b/>
        <color rgb="FFC0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E6" sqref="E6"/>
    </sheetView>
  </sheetViews>
  <sheetFormatPr defaultRowHeight="14.5" x14ac:dyDescent="0.35"/>
  <cols>
    <col min="1" max="1" width="17.453125" customWidth="1"/>
    <col min="2" max="2" width="24" customWidth="1"/>
    <col min="3" max="3" width="16" customWidth="1"/>
    <col min="4" max="4" width="44" customWidth="1"/>
    <col min="5" max="5" width="11" customWidth="1"/>
    <col min="6" max="6" width="20" customWidth="1"/>
    <col min="7" max="7" width="21.54296875" bestFit="1" customWidth="1"/>
    <col min="8" max="8" width="12" customWidth="1"/>
    <col min="9" max="9" width="11" customWidth="1"/>
    <col min="10" max="10" width="9.81640625" customWidth="1"/>
    <col min="11" max="13" width="12" customWidth="1"/>
  </cols>
  <sheetData>
    <row r="1" spans="1:13" ht="15.5" x14ac:dyDescent="0.35">
      <c r="A1" s="1" t="s">
        <v>0</v>
      </c>
      <c r="D1" s="2">
        <v>15</v>
      </c>
      <c r="E1" s="3" t="s">
        <v>66</v>
      </c>
    </row>
    <row r="3" spans="1:13" ht="45" customHeight="1" x14ac:dyDescent="0.35">
      <c r="A3" s="7" t="s">
        <v>1</v>
      </c>
      <c r="B3" s="7" t="s">
        <v>2</v>
      </c>
      <c r="C3" s="7" t="s">
        <v>64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63</v>
      </c>
      <c r="J3" s="7" t="s">
        <v>65</v>
      </c>
      <c r="K3" s="7" t="s">
        <v>9</v>
      </c>
      <c r="L3" s="7" t="s">
        <v>10</v>
      </c>
      <c r="M3" s="7" t="s">
        <v>11</v>
      </c>
    </row>
    <row r="4" spans="1:13" x14ac:dyDescent="0.35">
      <c r="A4" s="4">
        <v>1</v>
      </c>
      <c r="B4" s="4" t="s">
        <v>12</v>
      </c>
      <c r="C4" s="4" t="s">
        <v>13</v>
      </c>
      <c r="D4" s="4" t="s">
        <v>14</v>
      </c>
      <c r="E4" s="5">
        <v>46322</v>
      </c>
      <c r="F4" s="6">
        <v>46322.543749999997</v>
      </c>
      <c r="G4" s="6">
        <v>46322.55972222222</v>
      </c>
      <c r="H4" s="4">
        <v>673</v>
      </c>
      <c r="I4" s="4">
        <v>11</v>
      </c>
      <c r="J4" s="8">
        <f>H4/60</f>
        <v>11.216666666666667</v>
      </c>
      <c r="K4" s="4">
        <f>ROUND((G4-F4)*1440,0)</f>
        <v>23</v>
      </c>
      <c r="L4" s="4" t="str">
        <f>IF(H4/60&lt;$D$1,"Yes","No")</f>
        <v>Yes</v>
      </c>
      <c r="M4" s="9" t="str">
        <f>IF(K4&lt;$D$1,"Yes","No")</f>
        <v>No</v>
      </c>
    </row>
    <row r="5" spans="1:13" x14ac:dyDescent="0.35">
      <c r="A5" s="4">
        <v>2</v>
      </c>
      <c r="B5" s="4" t="s">
        <v>15</v>
      </c>
      <c r="C5" s="4" t="s">
        <v>16</v>
      </c>
      <c r="D5" s="4" t="s">
        <v>17</v>
      </c>
      <c r="E5" s="5">
        <v>46323</v>
      </c>
      <c r="F5" s="6">
        <v>46323.604166666657</v>
      </c>
      <c r="G5" s="6">
        <v>46323.636111111111</v>
      </c>
      <c r="H5" s="4">
        <v>677</v>
      </c>
      <c r="I5" s="4">
        <v>11</v>
      </c>
      <c r="J5" s="8">
        <f t="shared" ref="J5:J7" si="0">H5/60</f>
        <v>11.283333333333333</v>
      </c>
      <c r="K5" s="4">
        <f>ROUND((G5-F5)*1440,0)</f>
        <v>46</v>
      </c>
      <c r="L5" s="4" t="str">
        <f>IF(H5/60&lt;$D$1,"Yes","No")</f>
        <v>Yes</v>
      </c>
      <c r="M5" s="9" t="str">
        <f>IF(K5&lt;$D$1,"Yes","No")</f>
        <v>No</v>
      </c>
    </row>
    <row r="6" spans="1:13" x14ac:dyDescent="0.35">
      <c r="A6" s="4">
        <v>3</v>
      </c>
      <c r="B6" s="4" t="s">
        <v>18</v>
      </c>
      <c r="C6" s="4" t="s">
        <v>16</v>
      </c>
      <c r="D6" s="4" t="s">
        <v>19</v>
      </c>
      <c r="E6" s="5">
        <v>46322</v>
      </c>
      <c r="F6" s="6">
        <v>46322.648611111108</v>
      </c>
      <c r="G6" s="6">
        <v>46322.670138888891</v>
      </c>
      <c r="H6" s="4">
        <v>812</v>
      </c>
      <c r="I6" s="4">
        <v>13</v>
      </c>
      <c r="J6" s="8">
        <f t="shared" si="0"/>
        <v>13.533333333333333</v>
      </c>
      <c r="K6" s="4">
        <f>ROUND((G6-F6)*1440,0)</f>
        <v>31</v>
      </c>
      <c r="L6" s="4" t="str">
        <f>IF(H6/60&lt;$D$1,"Yes","No")</f>
        <v>Yes</v>
      </c>
      <c r="M6" s="9" t="str">
        <f>IF(K6&lt;$D$1,"Yes","No")</f>
        <v>No</v>
      </c>
    </row>
    <row r="7" spans="1:13" x14ac:dyDescent="0.35">
      <c r="A7" s="4">
        <v>4</v>
      </c>
      <c r="B7" s="4" t="s">
        <v>20</v>
      </c>
      <c r="C7" s="4" t="s">
        <v>21</v>
      </c>
      <c r="D7" s="4" t="s">
        <v>22</v>
      </c>
      <c r="E7" s="5">
        <v>46321</v>
      </c>
      <c r="F7" s="6">
        <v>46321.520833333343</v>
      </c>
      <c r="G7" s="6">
        <v>46321.541666666657</v>
      </c>
      <c r="H7" s="4">
        <v>874</v>
      </c>
      <c r="I7" s="4">
        <v>14</v>
      </c>
      <c r="J7" s="8">
        <f t="shared" si="0"/>
        <v>14.566666666666666</v>
      </c>
      <c r="K7" s="4">
        <f>ROUND((G7-F7)*1440,0)</f>
        <v>30</v>
      </c>
      <c r="L7" s="4" t="str">
        <f>IF(H7/60&lt;$D$1,"Yes","No")</f>
        <v>Yes</v>
      </c>
      <c r="M7" s="9" t="str">
        <f>IF(K7&lt;$D$1,"Yes","No")</f>
        <v>No</v>
      </c>
    </row>
  </sheetData>
  <conditionalFormatting sqref="L4:M7">
    <cfRule type="expression" dxfId="1" priority="3">
      <formula>L4="Yes"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1"/>
  <sheetViews>
    <sheetView workbookViewId="0">
      <pane xSplit="2" ySplit="3" topLeftCell="C4" activePane="bottomRight" state="frozen"/>
      <selection pane="topRight"/>
      <selection pane="bottomLeft"/>
      <selection pane="bottomRight" activeCell="D4" sqref="D4"/>
    </sheetView>
  </sheetViews>
  <sheetFormatPr defaultRowHeight="14.5" x14ac:dyDescent="0.35"/>
  <cols>
    <col min="1" max="1" width="4" customWidth="1"/>
    <col min="2" max="2" width="24" customWidth="1"/>
    <col min="3" max="3" width="16" customWidth="1"/>
    <col min="4" max="4" width="44" customWidth="1"/>
    <col min="5" max="5" width="43.81640625" bestFit="1" customWidth="1"/>
    <col min="6" max="7" width="20" customWidth="1"/>
    <col min="8" max="8" width="12" customWidth="1"/>
    <col min="9" max="9" width="11" customWidth="1"/>
    <col min="10" max="13" width="12" customWidth="1"/>
  </cols>
  <sheetData>
    <row r="1" spans="1:13" ht="15.5" x14ac:dyDescent="0.35">
      <c r="A1" s="1" t="s">
        <v>24</v>
      </c>
      <c r="D1" s="2">
        <v>20</v>
      </c>
      <c r="E1" s="3" t="s">
        <v>66</v>
      </c>
    </row>
    <row r="3" spans="1:13" ht="45" customHeight="1" x14ac:dyDescent="0.35">
      <c r="A3" s="7" t="s">
        <v>1</v>
      </c>
      <c r="B3" s="7" t="s">
        <v>2</v>
      </c>
      <c r="C3" s="7" t="s">
        <v>64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63</v>
      </c>
      <c r="J3" s="7" t="s">
        <v>8</v>
      </c>
      <c r="K3" s="7" t="s">
        <v>9</v>
      </c>
      <c r="L3" s="7" t="s">
        <v>10</v>
      </c>
      <c r="M3" s="7" t="s">
        <v>11</v>
      </c>
    </row>
    <row r="4" spans="1:13" x14ac:dyDescent="0.35">
      <c r="A4" s="4">
        <v>1</v>
      </c>
      <c r="B4" s="4" t="s">
        <v>25</v>
      </c>
      <c r="C4" s="4" t="s">
        <v>21</v>
      </c>
      <c r="D4" s="4" t="s">
        <v>26</v>
      </c>
      <c r="E4" s="5">
        <v>46322</v>
      </c>
      <c r="F4" s="6">
        <v>46322.729166666657</v>
      </c>
      <c r="G4" s="6">
        <v>46322.751388888893</v>
      </c>
      <c r="H4" s="4">
        <v>580</v>
      </c>
      <c r="I4" s="4">
        <v>10</v>
      </c>
      <c r="J4" s="4">
        <f t="shared" ref="J4:J19" si="0">ROUND(H4/60,1)</f>
        <v>9.6999999999999993</v>
      </c>
      <c r="K4" s="4">
        <f t="shared" ref="K4:K19" si="1">ROUND((G4-F4)*1440,0)</f>
        <v>32</v>
      </c>
      <c r="L4" s="4" t="str">
        <f t="shared" ref="L4:L21" si="2">IF(H4/60&lt;$D$1,"Yes","No")</f>
        <v>Yes</v>
      </c>
      <c r="M4" s="9" t="str">
        <f t="shared" ref="M4:M21" si="3">IF(K4&lt;$D$1,"Yes","No")</f>
        <v>No</v>
      </c>
    </row>
    <row r="5" spans="1:13" x14ac:dyDescent="0.35">
      <c r="A5" s="4">
        <v>2</v>
      </c>
      <c r="B5" s="4" t="s">
        <v>27</v>
      </c>
      <c r="C5" s="4" t="s">
        <v>13</v>
      </c>
      <c r="D5" s="4" t="s">
        <v>28</v>
      </c>
      <c r="E5" s="5">
        <v>46321</v>
      </c>
      <c r="F5" s="6">
        <v>46321.686805555553</v>
      </c>
      <c r="G5" s="6">
        <v>46321.704861111109</v>
      </c>
      <c r="H5" s="4">
        <v>675</v>
      </c>
      <c r="I5" s="4">
        <v>11</v>
      </c>
      <c r="J5" s="4">
        <f t="shared" si="0"/>
        <v>11.3</v>
      </c>
      <c r="K5" s="4">
        <f t="shared" si="1"/>
        <v>26</v>
      </c>
      <c r="L5" s="4" t="str">
        <f t="shared" si="2"/>
        <v>Yes</v>
      </c>
      <c r="M5" s="9" t="str">
        <f t="shared" si="3"/>
        <v>No</v>
      </c>
    </row>
    <row r="6" spans="1:13" x14ac:dyDescent="0.35">
      <c r="A6" s="4">
        <v>3</v>
      </c>
      <c r="B6" s="4" t="s">
        <v>29</v>
      </c>
      <c r="C6" s="4" t="s">
        <v>21</v>
      </c>
      <c r="D6" s="4" t="s">
        <v>30</v>
      </c>
      <c r="E6" s="5">
        <v>46322</v>
      </c>
      <c r="F6" s="6">
        <v>46322.6875</v>
      </c>
      <c r="G6" s="6">
        <v>46322.708333333343</v>
      </c>
      <c r="H6" s="4">
        <v>756</v>
      </c>
      <c r="I6" s="4">
        <v>13</v>
      </c>
      <c r="J6" s="4">
        <f t="shared" si="0"/>
        <v>12.6</v>
      </c>
      <c r="K6" s="4">
        <f t="shared" si="1"/>
        <v>30</v>
      </c>
      <c r="L6" s="4" t="str">
        <f t="shared" si="2"/>
        <v>Yes</v>
      </c>
      <c r="M6" s="9" t="str">
        <f t="shared" si="3"/>
        <v>No</v>
      </c>
    </row>
    <row r="7" spans="1:13" x14ac:dyDescent="0.35">
      <c r="A7" s="4">
        <v>4</v>
      </c>
      <c r="B7" s="4" t="s">
        <v>15</v>
      </c>
      <c r="C7" s="4" t="s">
        <v>16</v>
      </c>
      <c r="D7" s="4" t="s">
        <v>31</v>
      </c>
      <c r="E7" s="5">
        <v>46323</v>
      </c>
      <c r="F7" s="6">
        <v>46323.645833333343</v>
      </c>
      <c r="G7" s="6">
        <v>46323.65625</v>
      </c>
      <c r="H7" s="4">
        <v>839</v>
      </c>
      <c r="I7" s="4">
        <v>14</v>
      </c>
      <c r="J7" s="4">
        <f t="shared" si="0"/>
        <v>14</v>
      </c>
      <c r="K7" s="4">
        <f t="shared" si="1"/>
        <v>15</v>
      </c>
      <c r="L7" s="4" t="str">
        <f t="shared" si="2"/>
        <v>Yes</v>
      </c>
      <c r="M7" s="4" t="str">
        <f t="shared" si="3"/>
        <v>Yes</v>
      </c>
    </row>
    <row r="8" spans="1:13" x14ac:dyDescent="0.35">
      <c r="A8" s="4">
        <v>5</v>
      </c>
      <c r="B8" s="4" t="s">
        <v>18</v>
      </c>
      <c r="C8" s="4" t="s">
        <v>16</v>
      </c>
      <c r="D8" s="4" t="s">
        <v>32</v>
      </c>
      <c r="E8" s="5">
        <v>46322</v>
      </c>
      <c r="F8" s="6">
        <v>46322.670138888891</v>
      </c>
      <c r="G8" s="6">
        <v>46322.680555555547</v>
      </c>
      <c r="H8" s="4">
        <v>912</v>
      </c>
      <c r="I8" s="4">
        <v>15</v>
      </c>
      <c r="J8" s="4">
        <f t="shared" si="0"/>
        <v>15.2</v>
      </c>
      <c r="K8" s="4">
        <f t="shared" si="1"/>
        <v>15</v>
      </c>
      <c r="L8" s="4" t="str">
        <f t="shared" si="2"/>
        <v>Yes</v>
      </c>
      <c r="M8" s="4" t="str">
        <f t="shared" si="3"/>
        <v>Yes</v>
      </c>
    </row>
    <row r="9" spans="1:13" x14ac:dyDescent="0.35">
      <c r="A9" s="4">
        <v>6</v>
      </c>
      <c r="B9" s="4" t="s">
        <v>33</v>
      </c>
      <c r="C9" s="4" t="s">
        <v>16</v>
      </c>
      <c r="D9" s="4" t="s">
        <v>34</v>
      </c>
      <c r="E9" s="5">
        <v>46321</v>
      </c>
      <c r="F9" s="6">
        <v>46321.622916666667</v>
      </c>
      <c r="G9" s="6">
        <v>46321.640972222223</v>
      </c>
      <c r="H9" s="4">
        <v>927</v>
      </c>
      <c r="I9" s="4">
        <v>15</v>
      </c>
      <c r="J9" s="4">
        <f t="shared" si="0"/>
        <v>15.5</v>
      </c>
      <c r="K9" s="4">
        <f t="shared" si="1"/>
        <v>26</v>
      </c>
      <c r="L9" s="4" t="str">
        <f t="shared" si="2"/>
        <v>Yes</v>
      </c>
      <c r="M9" s="9" t="str">
        <f t="shared" si="3"/>
        <v>No</v>
      </c>
    </row>
    <row r="10" spans="1:13" x14ac:dyDescent="0.35">
      <c r="A10" s="4">
        <v>7</v>
      </c>
      <c r="B10" s="4" t="s">
        <v>35</v>
      </c>
      <c r="C10" s="4" t="s">
        <v>16</v>
      </c>
      <c r="D10" s="4" t="s">
        <v>36</v>
      </c>
      <c r="E10" s="5">
        <v>46321</v>
      </c>
      <c r="F10" s="6">
        <v>46321.532638888893</v>
      </c>
      <c r="G10" s="6">
        <v>46321.548611111109</v>
      </c>
      <c r="H10" s="4">
        <v>968</v>
      </c>
      <c r="I10" s="4">
        <v>16</v>
      </c>
      <c r="J10" s="4">
        <f t="shared" si="0"/>
        <v>16.100000000000001</v>
      </c>
      <c r="K10" s="4">
        <f t="shared" si="1"/>
        <v>23</v>
      </c>
      <c r="L10" s="4" t="str">
        <f t="shared" si="2"/>
        <v>Yes</v>
      </c>
      <c r="M10" s="9" t="str">
        <f t="shared" si="3"/>
        <v>No</v>
      </c>
    </row>
    <row r="11" spans="1:13" x14ac:dyDescent="0.35">
      <c r="A11" s="4">
        <v>8</v>
      </c>
      <c r="B11" s="4" t="s">
        <v>37</v>
      </c>
      <c r="C11" s="4" t="s">
        <v>38</v>
      </c>
      <c r="D11" s="4" t="s">
        <v>39</v>
      </c>
      <c r="E11" s="5">
        <v>46322</v>
      </c>
      <c r="F11" s="6">
        <v>46322.701388888891</v>
      </c>
      <c r="G11" s="6">
        <v>46322.731944444437</v>
      </c>
      <c r="H11" s="4">
        <v>981</v>
      </c>
      <c r="I11" s="4">
        <v>16</v>
      </c>
      <c r="J11" s="4">
        <f t="shared" si="0"/>
        <v>16.399999999999999</v>
      </c>
      <c r="K11" s="4">
        <f t="shared" si="1"/>
        <v>44</v>
      </c>
      <c r="L11" s="4" t="str">
        <f t="shared" si="2"/>
        <v>Yes</v>
      </c>
      <c r="M11" s="9" t="str">
        <f t="shared" si="3"/>
        <v>No</v>
      </c>
    </row>
    <row r="12" spans="1:13" x14ac:dyDescent="0.35">
      <c r="A12" s="4">
        <v>9</v>
      </c>
      <c r="B12" s="4" t="s">
        <v>40</v>
      </c>
      <c r="C12" s="4" t="s">
        <v>41</v>
      </c>
      <c r="D12" s="4" t="s">
        <v>42</v>
      </c>
      <c r="E12" s="5">
        <v>46323</v>
      </c>
      <c r="F12" s="6">
        <v>46323.5625</v>
      </c>
      <c r="G12" s="6">
        <v>46323.584722222222</v>
      </c>
      <c r="H12" s="4">
        <v>1033</v>
      </c>
      <c r="I12" s="4">
        <v>17</v>
      </c>
      <c r="J12" s="4">
        <f t="shared" si="0"/>
        <v>17.2</v>
      </c>
      <c r="K12" s="4">
        <f t="shared" si="1"/>
        <v>32</v>
      </c>
      <c r="L12" s="4" t="str">
        <f t="shared" si="2"/>
        <v>Yes</v>
      </c>
      <c r="M12" s="9" t="str">
        <f t="shared" si="3"/>
        <v>No</v>
      </c>
    </row>
    <row r="13" spans="1:13" x14ac:dyDescent="0.35">
      <c r="A13" s="4">
        <v>10</v>
      </c>
      <c r="B13" s="4" t="s">
        <v>43</v>
      </c>
      <c r="C13" s="4" t="s">
        <v>38</v>
      </c>
      <c r="D13" s="4" t="s">
        <v>44</v>
      </c>
      <c r="E13" s="5">
        <v>46323</v>
      </c>
      <c r="F13" s="6">
        <v>46323.575694444437</v>
      </c>
      <c r="G13" s="6">
        <v>46323.598611111112</v>
      </c>
      <c r="H13" s="4">
        <v>1041</v>
      </c>
      <c r="I13" s="4">
        <v>17</v>
      </c>
      <c r="J13" s="4">
        <f t="shared" si="0"/>
        <v>17.399999999999999</v>
      </c>
      <c r="K13" s="4">
        <f t="shared" si="1"/>
        <v>33</v>
      </c>
      <c r="L13" s="4" t="str">
        <f t="shared" si="2"/>
        <v>Yes</v>
      </c>
      <c r="M13" s="9" t="str">
        <f t="shared" si="3"/>
        <v>No</v>
      </c>
    </row>
    <row r="14" spans="1:13" x14ac:dyDescent="0.35">
      <c r="A14" s="4">
        <v>11</v>
      </c>
      <c r="B14" s="4" t="s">
        <v>45</v>
      </c>
      <c r="C14" s="4" t="s">
        <v>16</v>
      </c>
      <c r="D14" s="4" t="s">
        <v>46</v>
      </c>
      <c r="E14" s="5">
        <v>46323</v>
      </c>
      <c r="F14" s="6">
        <v>46323.548611111109</v>
      </c>
      <c r="G14" s="6">
        <v>46323.572916666657</v>
      </c>
      <c r="H14" s="4">
        <v>1048</v>
      </c>
      <c r="I14" s="4">
        <v>18</v>
      </c>
      <c r="J14" s="4">
        <f t="shared" si="0"/>
        <v>17.5</v>
      </c>
      <c r="K14" s="4">
        <f t="shared" si="1"/>
        <v>35</v>
      </c>
      <c r="L14" s="4" t="str">
        <f t="shared" si="2"/>
        <v>Yes</v>
      </c>
      <c r="M14" s="9" t="str">
        <f t="shared" si="3"/>
        <v>No</v>
      </c>
    </row>
    <row r="15" spans="1:13" x14ac:dyDescent="0.35">
      <c r="A15" s="4">
        <v>12</v>
      </c>
      <c r="B15" s="4" t="s">
        <v>47</v>
      </c>
      <c r="C15" s="4" t="s">
        <v>41</v>
      </c>
      <c r="D15" s="4" t="s">
        <v>48</v>
      </c>
      <c r="E15" s="5">
        <v>46323</v>
      </c>
      <c r="F15" s="6">
        <v>46323.625</v>
      </c>
      <c r="G15" s="6">
        <v>46323.651388888888</v>
      </c>
      <c r="H15" s="4">
        <v>1064</v>
      </c>
      <c r="I15" s="4">
        <v>18</v>
      </c>
      <c r="J15" s="4">
        <f t="shared" si="0"/>
        <v>17.7</v>
      </c>
      <c r="K15" s="4">
        <f t="shared" si="1"/>
        <v>38</v>
      </c>
      <c r="L15" s="4" t="str">
        <f t="shared" si="2"/>
        <v>Yes</v>
      </c>
      <c r="M15" s="9" t="str">
        <f t="shared" si="3"/>
        <v>No</v>
      </c>
    </row>
    <row r="16" spans="1:13" x14ac:dyDescent="0.35">
      <c r="A16" s="4">
        <v>13</v>
      </c>
      <c r="B16" s="4" t="s">
        <v>23</v>
      </c>
      <c r="C16" s="4" t="s">
        <v>13</v>
      </c>
      <c r="D16" s="4" t="s">
        <v>49</v>
      </c>
      <c r="E16" s="5">
        <v>46323</v>
      </c>
      <c r="F16" s="6">
        <v>46323.615972222222</v>
      </c>
      <c r="G16" s="6">
        <v>46323.638888888891</v>
      </c>
      <c r="H16" s="4">
        <v>1089</v>
      </c>
      <c r="I16" s="4">
        <v>18</v>
      </c>
      <c r="J16" s="4">
        <f t="shared" si="0"/>
        <v>18.2</v>
      </c>
      <c r="K16" s="4">
        <f t="shared" si="1"/>
        <v>33</v>
      </c>
      <c r="L16" s="4" t="str">
        <f t="shared" si="2"/>
        <v>Yes</v>
      </c>
      <c r="M16" s="9" t="str">
        <f t="shared" si="3"/>
        <v>No</v>
      </c>
    </row>
    <row r="17" spans="1:13" x14ac:dyDescent="0.35">
      <c r="A17" s="4">
        <v>14</v>
      </c>
      <c r="B17" s="4" t="s">
        <v>50</v>
      </c>
      <c r="C17" s="4" t="s">
        <v>16</v>
      </c>
      <c r="D17" s="4" t="s">
        <v>51</v>
      </c>
      <c r="E17" s="5">
        <v>46323</v>
      </c>
      <c r="F17" s="6">
        <v>46323.480555555558</v>
      </c>
      <c r="G17" s="6">
        <v>46323.506944444453</v>
      </c>
      <c r="H17" s="4">
        <v>1107</v>
      </c>
      <c r="I17" s="4">
        <v>18</v>
      </c>
      <c r="J17" s="4">
        <f t="shared" si="0"/>
        <v>18.5</v>
      </c>
      <c r="K17" s="4">
        <f t="shared" si="1"/>
        <v>38</v>
      </c>
      <c r="L17" s="4" t="str">
        <f t="shared" si="2"/>
        <v>Yes</v>
      </c>
      <c r="M17" s="9" t="str">
        <f t="shared" si="3"/>
        <v>No</v>
      </c>
    </row>
    <row r="18" spans="1:13" x14ac:dyDescent="0.35">
      <c r="A18" s="4">
        <v>15</v>
      </c>
      <c r="B18" s="4" t="s">
        <v>52</v>
      </c>
      <c r="C18" s="4" t="s">
        <v>53</v>
      </c>
      <c r="D18" s="4" t="s">
        <v>54</v>
      </c>
      <c r="E18" s="5">
        <v>46321</v>
      </c>
      <c r="F18" s="6">
        <v>46321.554166666669</v>
      </c>
      <c r="G18" s="6">
        <v>46321.572222222218</v>
      </c>
      <c r="H18" s="4">
        <v>1145</v>
      </c>
      <c r="I18" s="4">
        <v>19</v>
      </c>
      <c r="J18" s="4">
        <f t="shared" si="0"/>
        <v>19.100000000000001</v>
      </c>
      <c r="K18" s="4">
        <f t="shared" si="1"/>
        <v>26</v>
      </c>
      <c r="L18" s="4" t="str">
        <f t="shared" si="2"/>
        <v>Yes</v>
      </c>
      <c r="M18" s="9" t="str">
        <f t="shared" si="3"/>
        <v>No</v>
      </c>
    </row>
    <row r="19" spans="1:13" x14ac:dyDescent="0.35">
      <c r="A19" s="4">
        <v>16</v>
      </c>
      <c r="B19" s="4" t="s">
        <v>55</v>
      </c>
      <c r="C19" s="4" t="s">
        <v>21</v>
      </c>
      <c r="D19" s="4" t="s">
        <v>56</v>
      </c>
      <c r="E19" s="5">
        <v>46322</v>
      </c>
      <c r="F19" s="6">
        <v>46322.474305555559</v>
      </c>
      <c r="G19" s="6">
        <v>46322.488888888889</v>
      </c>
      <c r="H19" s="4">
        <v>1153</v>
      </c>
      <c r="I19" s="4">
        <v>19</v>
      </c>
      <c r="J19" s="4">
        <f t="shared" si="0"/>
        <v>19.2</v>
      </c>
      <c r="K19" s="4">
        <f t="shared" si="1"/>
        <v>21</v>
      </c>
      <c r="L19" s="4" t="str">
        <f t="shared" si="2"/>
        <v>Yes</v>
      </c>
      <c r="M19" s="9" t="str">
        <f t="shared" si="3"/>
        <v>No</v>
      </c>
    </row>
    <row r="20" spans="1:13" x14ac:dyDescent="0.35">
      <c r="A20" s="4">
        <v>18</v>
      </c>
      <c r="B20" s="4" t="s">
        <v>58</v>
      </c>
      <c r="C20" s="4" t="s">
        <v>59</v>
      </c>
      <c r="D20" s="4" t="s">
        <v>60</v>
      </c>
      <c r="E20" s="5">
        <v>46322</v>
      </c>
      <c r="F20" s="6">
        <v>46322.511805555558</v>
      </c>
      <c r="G20" s="6">
        <v>46322.525694444441</v>
      </c>
      <c r="H20" s="4">
        <v>1164</v>
      </c>
      <c r="I20" s="4">
        <v>19</v>
      </c>
      <c r="J20" s="4">
        <f>ROUND(H20/60,1)</f>
        <v>19.399999999999999</v>
      </c>
      <c r="K20" s="4">
        <f>ROUND((G20-F20)*1440,0)</f>
        <v>20</v>
      </c>
      <c r="L20" s="4" t="str">
        <f t="shared" si="2"/>
        <v>Yes</v>
      </c>
      <c r="M20" s="9" t="str">
        <f t="shared" si="3"/>
        <v>No</v>
      </c>
    </row>
    <row r="21" spans="1:13" x14ac:dyDescent="0.35">
      <c r="A21" s="4">
        <v>19</v>
      </c>
      <c r="B21" s="4" t="s">
        <v>61</v>
      </c>
      <c r="C21" s="4" t="s">
        <v>57</v>
      </c>
      <c r="D21" s="4" t="s">
        <v>62</v>
      </c>
      <c r="E21" s="5">
        <v>46322</v>
      </c>
      <c r="F21" s="6">
        <v>46322.581250000003</v>
      </c>
      <c r="G21" s="6">
        <v>46322.600694444453</v>
      </c>
      <c r="H21" s="4">
        <v>1193</v>
      </c>
      <c r="I21" s="4">
        <v>20</v>
      </c>
      <c r="J21" s="4">
        <f>ROUND(H21/60,1)</f>
        <v>19.899999999999999</v>
      </c>
      <c r="K21" s="4">
        <f>ROUND((G21-F21)*1440,0)</f>
        <v>28</v>
      </c>
      <c r="L21" s="4" t="str">
        <f t="shared" si="2"/>
        <v>Yes</v>
      </c>
      <c r="M21" s="9" t="str">
        <f t="shared" si="3"/>
        <v>No</v>
      </c>
    </row>
  </sheetData>
  <conditionalFormatting sqref="L4:M21">
    <cfRule type="expression" dxfId="0" priority="3">
      <formula>L4="Yes"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Father (15 min)</vt:lpstr>
      <vt:lpstr>Girls (20 min)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Malki Aman</cp:lastModifiedBy>
  <dcterms:created xsi:type="dcterms:W3CDTF">2026-10-29T18:25:37Z</dcterms:created>
  <dcterms:modified xsi:type="dcterms:W3CDTF">2026-10-30T13:43:07Z</dcterms:modified>
</cp:coreProperties>
</file>